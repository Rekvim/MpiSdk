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boxuser\Documents\GitHub\MpiSdk\"/>
    </mc:Choice>
  </mc:AlternateContent>
  <xr:revisionPtr revIDLastSave="0" documentId="13_ncr:1_{B4180971-2868-4349-812B-808D55AFB54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ОТ" sheetId="12" r:id="rId1"/>
    <sheet name="ЗИП" sheetId="9" r:id="rId2"/>
    <sheet name="Заключение" sheetId="10" r:id="rId3"/>
  </sheets>
  <definedNames>
    <definedName name="_xlnm.Print_Area" localSheetId="2">Заключение!#REF!</definedName>
    <definedName name="_xlnm.Print_Area" localSheetId="1">ЗИП!$A$1:$K$37</definedName>
    <definedName name="_xlnm.Print_Area" localSheetId="0">'Отчет ОТ'!$A$1:$P$158</definedName>
  </definedNames>
  <calcPr calcId="191029"/>
</workbook>
</file>

<file path=xl/calcChain.xml><?xml version="1.0" encoding="utf-8"?>
<calcChain xmlns="http://schemas.openxmlformats.org/spreadsheetml/2006/main">
  <c r="M79" i="12" l="1"/>
  <c r="N1" i="12"/>
  <c r="I1" i="12"/>
</calcChain>
</file>

<file path=xl/sharedStrings.xml><?xml version="1.0" encoding="utf-8"?>
<sst xmlns="http://schemas.openxmlformats.org/spreadsheetml/2006/main" count="145" uniqueCount="132">
  <si>
    <t xml:space="preserve">Акт (расширенный отчет) о проведении диагностики клапана  </t>
  </si>
  <si>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</si>
  <si>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</si>
  <si>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</si>
  <si>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</si>
  <si>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</si>
  <si>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</si>
  <si>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Привод (положение безопасности)</t>
  </si>
  <si>
    <t>Параметр измерения</t>
  </si>
  <si>
    <t>ДАТА:</t>
  </si>
  <si>
    <t>Давление питания, bar</t>
  </si>
  <si>
    <t>Движение хода клапана</t>
  </si>
  <si>
    <t>Модель привода</t>
  </si>
  <si>
    <t>сальниковое уплотнение (согласно исполнению)</t>
  </si>
  <si>
    <t>мембрана привода</t>
  </si>
  <si>
    <t>ремкомплект для привода</t>
  </si>
  <si>
    <t>фильтр-регулятор</t>
  </si>
  <si>
    <t>диск/уплотнение диска</t>
  </si>
  <si>
    <t>набор пружин привода (пружина привода)</t>
  </si>
  <si>
    <t>бустерное реле</t>
  </si>
  <si>
    <t>ручной дублер</t>
  </si>
  <si>
    <t>клапан быстрого сброса</t>
  </si>
  <si>
    <t>соленоидный клапан</t>
  </si>
  <si>
    <t>запирающий клапан</t>
  </si>
  <si>
    <t>игольчатый клапан</t>
  </si>
  <si>
    <t>комплект мягких уплотнений</t>
  </si>
  <si>
    <t>кольцо внутреннее/внешнее втулки сальника (для Камфлекс)</t>
  </si>
  <si>
    <t>втулка нижняя/втулка верхняя (для Камфлекс)</t>
  </si>
  <si>
    <t>манометр</t>
  </si>
  <si>
    <t>подшипник стойки привода (для Камфлекс)</t>
  </si>
  <si>
    <t>прокладка крышка/корпус</t>
  </si>
  <si>
    <t>прокладка корпус/клетка</t>
  </si>
  <si>
    <t>резкий отрыв плунжера от седла</t>
  </si>
  <si>
    <t>прокладка седло/корпус</t>
  </si>
  <si>
    <t>прокладка корпус/нижняя крышка</t>
  </si>
  <si>
    <t>низкое значение зоны посадки плунжер/седло</t>
  </si>
  <si>
    <t>затвор Варипак (согласно номеру указанному в модели клапана)</t>
  </si>
  <si>
    <t>высокое трение в диапазоне 0-100% хода клапана</t>
  </si>
  <si>
    <t>втулка направляющая</t>
  </si>
  <si>
    <t>зона посадки плунжер/седло отсутствует</t>
  </si>
  <si>
    <t xml:space="preserve">втулка опорная </t>
  </si>
  <si>
    <t>высокое трение при выходе плунжера/диска из седла</t>
  </si>
  <si>
    <t>манжета/комплект манжет</t>
  </si>
  <si>
    <t>высокое значение зоны посадки плунжер/седло</t>
  </si>
  <si>
    <t>клетка</t>
  </si>
  <si>
    <t>высокое трение в диапазоне 0-50% хода клапана</t>
  </si>
  <si>
    <t>комплект Metso модель ZX (cальниковое уплотнение (согласно исполнению); подшипник вала; кольцо подшипника (комплект - 2 кольцевых); плунжер; штифт; прокладка крышка/седло; прокладка седло/корпус; седло; шпилька седла)</t>
  </si>
  <si>
    <t>комплект уплотений седла (согласно исполению)</t>
  </si>
  <si>
    <t>высокое трение в диапазоне 50-100% хода клапана</t>
  </si>
  <si>
    <t>деформация адаптации/элементов обратной связи</t>
  </si>
  <si>
    <t>высокое трение в средней зоне хода клапана</t>
  </si>
  <si>
    <t>деформация элементов обратной связи</t>
  </si>
  <si>
    <t>люфты адаптации/обратной связи</t>
  </si>
  <si>
    <t/>
  </si>
  <si>
    <t>Заключение*:</t>
  </si>
  <si>
    <t>Рекомендуемый ЗИП*:</t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</si>
  <si>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</si>
  <si>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</si>
  <si>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</si>
  <si>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</si>
  <si>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</si>
  <si>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наблюдается видимая течь</t>
  </si>
  <si>
    <t>Цех</t>
  </si>
  <si>
    <t>РЕЗУЛЬТАТ ДИАГНОСТИКИ</t>
  </si>
  <si>
    <t>без видимых дефектов</t>
  </si>
  <si>
    <t>комплект уплотнений/прокладок</t>
  </si>
  <si>
    <t>среднее значение динамической ошибки соответствует рекомендованному</t>
  </si>
  <si>
    <t>действительный диапазон пружин соответствует рекомендованному</t>
  </si>
  <si>
    <t>перечень неисправного навесного оборудования указан в "Рекомендуемый ЗИП"</t>
  </si>
  <si>
    <t>действительный ход клапана соответствует рекомендованному</t>
  </si>
  <si>
    <t>коэффициент трения не превышает значение выработки ресурса сальника</t>
  </si>
  <si>
    <t>некорректная работа позиционера (сбиты крайние точки)</t>
  </si>
  <si>
    <t>некорректная работа позиционера (неккоректное отрабатывание заданной характеристики)</t>
  </si>
  <si>
    <t>позиционер неработоспособен</t>
  </si>
  <si>
    <t>позиционер (при необходимости)</t>
  </si>
  <si>
    <t>концевой выключатель/датчик положения</t>
  </si>
  <si>
    <t>комплект адаптации/узел обратной связи</t>
  </si>
  <si>
    <t>плунжер (при необходимости)</t>
  </si>
  <si>
    <t>шар (при необходимости)</t>
  </si>
  <si>
    <t>седло (при необходимости)</t>
  </si>
  <si>
    <t>вал (при необходимости)</t>
  </si>
  <si>
    <t>шток/сборка шток-плунжер/штифт (при необходимости)</t>
  </si>
  <si>
    <t>ЗАКАЗЧИК:</t>
  </si>
  <si>
    <t>ИСПОЛНИТЕЛЬ: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</si>
  <si>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</si>
  <si>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</si>
  <si>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r>
      <rPr>
        <b/>
        <sz val="11"/>
        <color rgb="FF000000"/>
        <rFont val="Calibri"/>
      </rPr>
      <t>Работа позиционера неудовлетворительная.</t>
    </r>
    <r>
      <rPr>
        <sz val="11"/>
        <color rgb="FF000000"/>
        <rFont val="Calibri"/>
      </rPr>
      <t xml:space="preserve">  Произвести калибровку позиционера. </t>
    </r>
    <r>
      <rPr>
        <b/>
        <sz val="11"/>
        <color rgb="FF000000"/>
        <rFont val="Calibri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</si>
  <si>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r>
      <rPr>
        <b/>
        <sz val="11"/>
        <color rgb="FF000000"/>
        <rFont val="Calibri"/>
      </rPr>
      <t>Работа позиционера неудовлетворительная.</t>
    </r>
    <r>
      <rPr>
        <sz val="11"/>
        <color rgb="FF000000"/>
        <rFont val="Calibri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</si>
  <si>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r>
      <rPr>
        <b/>
        <sz val="11"/>
        <color rgb="FF000000"/>
        <rFont val="Calibri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</rPr>
      <t>После ремонта произвести настройку позиционера.</t>
    </r>
  </si>
  <si>
    <r>
      <rPr>
        <b/>
        <sz val="11"/>
        <color rgb="FF000000"/>
        <rFont val="Calibri"/>
        <family val="2"/>
        <charset val="204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charset val="204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charset val="204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После ремонта произвести настройку позиционера.</t>
    </r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</si>
  <si>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</si>
  <si>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Корпус</t>
  </si>
  <si>
    <t>Крышка</t>
  </si>
  <si>
    <t>Шар</t>
  </si>
  <si>
    <t>Диск</t>
  </si>
  <si>
    <t>Плунжер</t>
  </si>
  <si>
    <t>Вал</t>
  </si>
  <si>
    <t>Шток</t>
  </si>
  <si>
    <t>Направляющая втулка</t>
  </si>
  <si>
    <t xml:space="preserve">Производитель </t>
  </si>
  <si>
    <t>Ход штока, мм
Ход вала, град</t>
  </si>
  <si>
    <t>Заданный диапазон пружин
привода, бар</t>
  </si>
  <si>
    <t>Коэффициент трения, %</t>
  </si>
  <si>
    <t>Трение, среднее значение (N)</t>
  </si>
  <si>
    <t>Состояние навесного
оборудования*</t>
  </si>
  <si>
    <t>График трения хода клапана*</t>
  </si>
  <si>
    <t>Наличие течи по сальнику*</t>
  </si>
  <si>
    <t>Время срабатывания прямого/обратного хода, сек</t>
  </si>
  <si>
    <t>Разработано ООО "РДК Системс"</t>
  </si>
  <si>
    <t>действительный диапазон i/p преобразователя соответствует рекомендованному</t>
  </si>
  <si>
    <t>Диапазон i/p преобразователя, бар</t>
  </si>
  <si>
    <t>0.2-1.0</t>
  </si>
  <si>
    <t>Диагностические графики клапана, поз.</t>
  </si>
  <si>
    <t>Седло</t>
  </si>
  <si>
    <t>Внешний датчик давления</t>
  </si>
  <si>
    <t>Тросовый датчик линейных перемещений</t>
  </si>
  <si>
    <t>CV</t>
  </si>
  <si>
    <t>Краткая спецификация на клапан</t>
  </si>
  <si>
    <t>Данные по объекту</t>
  </si>
  <si>
    <t>Объект</t>
  </si>
  <si>
    <t>Материал деталей</t>
  </si>
  <si>
    <t>Установка</t>
  </si>
  <si>
    <t>График зависимости ход штока / Управляющий сигнал мА</t>
  </si>
  <si>
    <t>График зависимости ход штока / Давление в приводе</t>
  </si>
  <si>
    <t>График трения</t>
  </si>
  <si>
    <t>Действительное значение</t>
  </si>
  <si>
    <t>Рекомендованное значение</t>
  </si>
  <si>
    <t>Динамическая ошибка
(среднее значение), %</t>
  </si>
  <si>
    <t>Нижнее / Верхнее значение давления в приводе, бар</t>
  </si>
  <si>
    <t>Усилие отрыва прямой / Обратный ход (N)</t>
  </si>
  <si>
    <t>Зона посадки плунжер / Седло*</t>
  </si>
  <si>
    <t>Адаптация / Детали адаптации позиционера*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</si>
</sst>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5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17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35" xfId="0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1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4" fillId="0" borderId="3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38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4" fillId="2" borderId="3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/>
    <xf numFmtId="0" fontId="27" fillId="0" borderId="2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103B-2220-498A-8D3D-E10DF6E521F1}">
  <dimension ref="A1:U158"/>
  <sheetViews>
    <sheetView tabSelected="1" view="pageBreakPreview" zoomScaleNormal="100" zoomScaleSheetLayoutView="100" workbookViewId="0">
      <selection activeCell="J6" sqref="J6:L6"/>
    </sheetView>
  </sheetViews>
  <sheetFormatPr defaultColWidth="9" defaultRowHeight="15" x14ac:dyDescent="0.25"/>
  <cols>
    <col min="1" max="1" width="14.5703125" style="2" customWidth="1"/>
    <col min="2" max="2" width="9" style="2" customWidth="1"/>
    <col min="3" max="3" width="11.140625" style="2" customWidth="1"/>
    <col min="4" max="16" width="9" style="2" customWidth="1"/>
    <col min="17" max="17" width="1.28515625" style="2" hidden="1" customWidth="1"/>
    <col min="18" max="20" width="9" style="2" customWidth="1"/>
    <col min="21" max="21" width="36.7109375" style="2" customWidth="1"/>
    <col min="22" max="22" width="9" style="2" customWidth="1"/>
    <col min="23" max="16384" width="9" style="2"/>
  </cols>
  <sheetData>
    <row r="1" spans="2:16" ht="18.75" x14ac:dyDescent="0.3">
      <c r="B1" s="164" t="s">
        <v>0</v>
      </c>
      <c r="C1" s="164"/>
      <c r="D1" s="164"/>
      <c r="E1" s="164"/>
      <c r="F1" s="164"/>
      <c r="G1" s="164"/>
      <c r="H1" s="164"/>
      <c r="I1" s="165" t="str">
        <f>REPT(M4,1)</f>
        <v/>
      </c>
      <c r="J1" s="165"/>
      <c r="K1" s="165"/>
      <c r="L1" s="166" t="s">
        <v>1</v>
      </c>
      <c r="M1" s="166"/>
      <c r="N1" s="165" t="str">
        <f>IF(D6="","",D6)</f>
        <v/>
      </c>
      <c r="O1" s="165"/>
      <c r="P1" s="165"/>
    </row>
    <row r="3" spans="2:16" x14ac:dyDescent="0.25">
      <c r="B3" s="138" t="s">
        <v>118</v>
      </c>
      <c r="C3" s="138"/>
      <c r="D3" s="138"/>
      <c r="E3" s="138"/>
      <c r="F3" s="138"/>
      <c r="G3" s="138"/>
      <c r="J3" s="167" t="s">
        <v>117</v>
      </c>
      <c r="K3" s="167"/>
      <c r="L3" s="167"/>
      <c r="M3" s="167"/>
      <c r="N3" s="167"/>
      <c r="O3" s="167"/>
      <c r="P3" s="167"/>
    </row>
    <row r="4" spans="2:16" x14ac:dyDescent="0.25">
      <c r="B4" s="161" t="s">
        <v>119</v>
      </c>
      <c r="C4" s="163"/>
      <c r="D4" s="161"/>
      <c r="E4" s="162"/>
      <c r="F4" s="162"/>
      <c r="G4" s="163"/>
      <c r="J4" s="99" t="s">
        <v>2</v>
      </c>
      <c r="K4" s="99"/>
      <c r="L4" s="99"/>
      <c r="M4" s="158"/>
      <c r="N4" s="159"/>
      <c r="O4" s="159"/>
      <c r="P4" s="160"/>
    </row>
    <row r="5" spans="2:16" x14ac:dyDescent="0.25">
      <c r="B5" s="161" t="s">
        <v>62</v>
      </c>
      <c r="C5" s="163"/>
      <c r="D5" s="161"/>
      <c r="E5" s="162"/>
      <c r="F5" s="162"/>
      <c r="G5" s="163"/>
      <c r="J5" s="99" t="s">
        <v>3</v>
      </c>
      <c r="K5" s="99"/>
      <c r="L5" s="99"/>
      <c r="M5" s="158" t="s">
        <v>53</v>
      </c>
      <c r="N5" s="159"/>
      <c r="O5" s="159"/>
      <c r="P5" s="160"/>
    </row>
    <row r="6" spans="2:16" x14ac:dyDescent="0.25">
      <c r="B6" s="161" t="s">
        <v>121</v>
      </c>
      <c r="C6" s="163"/>
      <c r="D6" s="161"/>
      <c r="E6" s="162"/>
      <c r="F6" s="162"/>
      <c r="G6" s="163"/>
      <c r="J6" s="99" t="s">
        <v>4</v>
      </c>
      <c r="K6" s="99"/>
      <c r="L6" s="99"/>
      <c r="M6" s="158" t="s">
        <v>53</v>
      </c>
      <c r="N6" s="159"/>
      <c r="O6" s="159"/>
      <c r="P6" s="160"/>
    </row>
    <row r="7" spans="2:16" x14ac:dyDescent="0.25">
      <c r="B7" s="18"/>
      <c r="C7" s="18"/>
      <c r="D7" s="18"/>
      <c r="E7" s="18"/>
      <c r="F7" s="18"/>
      <c r="G7" s="18"/>
      <c r="J7" s="161" t="s">
        <v>99</v>
      </c>
      <c r="K7" s="162"/>
      <c r="L7" s="163"/>
      <c r="M7" s="158"/>
      <c r="N7" s="159"/>
      <c r="O7" s="159"/>
      <c r="P7" s="160"/>
    </row>
    <row r="8" spans="2:16" x14ac:dyDescent="0.25">
      <c r="B8" s="28" t="s">
        <v>120</v>
      </c>
      <c r="C8" s="29"/>
      <c r="D8" s="29"/>
      <c r="E8" s="29"/>
      <c r="F8" s="29"/>
      <c r="G8" s="30"/>
      <c r="J8" s="99" t="s">
        <v>5</v>
      </c>
      <c r="K8" s="99"/>
      <c r="L8" s="99"/>
      <c r="M8" s="158"/>
      <c r="N8" s="159"/>
      <c r="O8" s="159"/>
      <c r="P8" s="160"/>
    </row>
    <row r="9" spans="2:16" x14ac:dyDescent="0.25">
      <c r="B9" s="28" t="s">
        <v>91</v>
      </c>
      <c r="C9" s="30"/>
      <c r="D9" s="28"/>
      <c r="E9" s="29"/>
      <c r="F9" s="29"/>
      <c r="G9" s="30"/>
      <c r="J9" s="99" t="s">
        <v>6</v>
      </c>
      <c r="K9" s="99"/>
      <c r="L9" s="99"/>
      <c r="M9" s="158" t="s">
        <v>53</v>
      </c>
      <c r="N9" s="159"/>
      <c r="O9" s="159"/>
      <c r="P9" s="160"/>
    </row>
    <row r="10" spans="2:16" ht="15" customHeight="1" x14ac:dyDescent="0.25">
      <c r="B10" s="28" t="s">
        <v>92</v>
      </c>
      <c r="C10" s="30"/>
      <c r="D10" s="28"/>
      <c r="E10" s="29"/>
      <c r="F10" s="29"/>
      <c r="G10" s="30"/>
      <c r="J10" s="155" t="s">
        <v>10</v>
      </c>
      <c r="K10" s="156"/>
      <c r="L10" s="157"/>
      <c r="M10" s="115" t="s">
        <v>53</v>
      </c>
      <c r="N10" s="116"/>
      <c r="O10" s="116"/>
      <c r="P10" s="117"/>
    </row>
    <row r="11" spans="2:16" ht="15" customHeight="1" x14ac:dyDescent="0.25">
      <c r="B11" s="26" t="s">
        <v>113</v>
      </c>
      <c r="C11" s="26" t="s">
        <v>116</v>
      </c>
      <c r="D11" s="28"/>
      <c r="E11" s="30"/>
      <c r="F11" s="28"/>
      <c r="G11" s="30"/>
      <c r="J11" s="149" t="s">
        <v>7</v>
      </c>
      <c r="K11" s="150"/>
      <c r="L11" s="151"/>
      <c r="M11" s="152"/>
      <c r="N11" s="153"/>
      <c r="O11" s="153"/>
      <c r="P11" s="154"/>
    </row>
    <row r="12" spans="2:16" ht="15" customHeight="1" x14ac:dyDescent="0.25">
      <c r="B12" s="28" t="s">
        <v>93</v>
      </c>
      <c r="C12" s="30"/>
      <c r="D12" s="28"/>
      <c r="E12" s="29"/>
      <c r="F12" s="29"/>
      <c r="G12" s="30"/>
      <c r="J12" s="155" t="s">
        <v>12</v>
      </c>
      <c r="K12" s="156"/>
      <c r="L12" s="157"/>
      <c r="M12" s="152" t="s">
        <v>53</v>
      </c>
      <c r="N12" s="153"/>
      <c r="O12" s="153"/>
      <c r="P12" s="154"/>
    </row>
    <row r="13" spans="2:16" x14ac:dyDescent="0.25">
      <c r="B13" s="28" t="s">
        <v>94</v>
      </c>
      <c r="C13" s="30"/>
      <c r="D13" s="28"/>
      <c r="E13" s="29"/>
      <c r="F13" s="29"/>
      <c r="G13" s="30"/>
      <c r="J13" s="95" t="s">
        <v>11</v>
      </c>
      <c r="K13" s="95"/>
      <c r="L13" s="95"/>
      <c r="M13" s="146"/>
      <c r="N13" s="146"/>
      <c r="O13" s="146"/>
      <c r="P13" s="146"/>
    </row>
    <row r="14" spans="2:16" x14ac:dyDescent="0.25">
      <c r="B14" s="28" t="s">
        <v>95</v>
      </c>
      <c r="C14" s="30"/>
      <c r="D14" s="28"/>
      <c r="E14" s="29"/>
      <c r="F14" s="29"/>
      <c r="G14" s="30"/>
      <c r="J14" s="147" t="s">
        <v>57</v>
      </c>
      <c r="K14" s="147"/>
      <c r="L14" s="147"/>
      <c r="M14" s="148"/>
      <c r="N14" s="148"/>
      <c r="O14" s="148"/>
      <c r="P14" s="148"/>
    </row>
    <row r="15" spans="2:16" x14ac:dyDescent="0.25">
      <c r="B15" s="28" t="s">
        <v>96</v>
      </c>
      <c r="C15" s="30"/>
      <c r="D15" s="28"/>
      <c r="E15" s="29"/>
      <c r="F15" s="29"/>
      <c r="G15" s="30"/>
      <c r="J15" s="27"/>
      <c r="K15" s="27"/>
      <c r="L15" s="27"/>
      <c r="M15" s="27"/>
      <c r="N15" s="27"/>
      <c r="O15" s="27"/>
      <c r="P15" s="27"/>
    </row>
    <row r="16" spans="2:16" x14ac:dyDescent="0.25">
      <c r="B16" s="28" t="s">
        <v>97</v>
      </c>
      <c r="C16" s="30"/>
      <c r="D16" s="28"/>
      <c r="E16" s="29"/>
      <c r="F16" s="29"/>
      <c r="G16" s="30"/>
      <c r="J16" s="27"/>
      <c r="K16" s="27"/>
      <c r="L16" s="27"/>
      <c r="M16" s="27"/>
      <c r="N16" s="27"/>
      <c r="O16" s="27"/>
      <c r="P16" s="27"/>
    </row>
    <row r="17" spans="1:21" x14ac:dyDescent="0.25">
      <c r="B17" s="28" t="s">
        <v>98</v>
      </c>
      <c r="C17" s="30"/>
      <c r="D17" s="138"/>
      <c r="E17" s="138"/>
      <c r="F17" s="138"/>
      <c r="G17" s="138"/>
      <c r="J17" s="27"/>
      <c r="K17" s="27"/>
      <c r="L17" s="27"/>
      <c r="M17" s="27"/>
      <c r="N17" s="27"/>
      <c r="O17" s="27"/>
      <c r="P17" s="27"/>
    </row>
    <row r="19" spans="1:21" ht="15.6" customHeight="1" x14ac:dyDescent="0.25">
      <c r="A19" s="139" t="s">
        <v>63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</row>
    <row r="20" spans="1:21" x14ac:dyDescent="0.25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</row>
    <row r="21" spans="1:21" x14ac:dyDescent="0.25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</row>
    <row r="23" spans="1:21" ht="15" customHeight="1" x14ac:dyDescent="0.25">
      <c r="B23" s="138" t="s">
        <v>8</v>
      </c>
      <c r="C23" s="138"/>
      <c r="D23" s="138"/>
      <c r="E23" s="138" t="s">
        <v>125</v>
      </c>
      <c r="F23" s="138"/>
      <c r="G23" s="138"/>
      <c r="H23" s="138" t="s">
        <v>126</v>
      </c>
      <c r="I23" s="138"/>
      <c r="J23" s="138"/>
      <c r="K23" s="140" t="s">
        <v>56</v>
      </c>
      <c r="L23" s="141"/>
      <c r="M23" s="141"/>
      <c r="N23" s="141"/>
      <c r="O23" s="141"/>
      <c r="P23" s="142"/>
    </row>
    <row r="24" spans="1:21" x14ac:dyDescent="0.25">
      <c r="B24" s="138"/>
      <c r="C24" s="138"/>
      <c r="D24" s="138"/>
      <c r="E24" s="138"/>
      <c r="F24" s="138"/>
      <c r="G24" s="138"/>
      <c r="H24" s="138"/>
      <c r="I24" s="138"/>
      <c r="J24" s="138"/>
      <c r="K24" s="143"/>
      <c r="L24" s="144"/>
      <c r="M24" s="144"/>
      <c r="N24" s="144"/>
      <c r="O24" s="144"/>
      <c r="P24" s="145"/>
    </row>
    <row r="25" spans="1:21" ht="19.899999999999999" customHeight="1" x14ac:dyDescent="0.25">
      <c r="B25" s="95" t="s">
        <v>127</v>
      </c>
      <c r="C25" s="95"/>
      <c r="D25" s="95"/>
      <c r="E25" s="108"/>
      <c r="F25" s="108"/>
      <c r="G25" s="108"/>
      <c r="H25" s="136" t="s">
        <v>53</v>
      </c>
      <c r="I25" s="136"/>
      <c r="J25" s="136"/>
      <c r="K25" s="133" t="s">
        <v>66</v>
      </c>
      <c r="L25" s="134"/>
      <c r="M25" s="134"/>
      <c r="N25" s="134"/>
      <c r="O25" s="134"/>
      <c r="P25" s="135"/>
      <c r="Q25" s="121"/>
      <c r="R25" s="122"/>
      <c r="S25" s="122"/>
      <c r="T25" s="122"/>
      <c r="U25" s="122"/>
    </row>
    <row r="26" spans="1:21" ht="19.899999999999999" customHeight="1" x14ac:dyDescent="0.25">
      <c r="B26" s="95"/>
      <c r="C26" s="95"/>
      <c r="D26" s="95"/>
      <c r="E26" s="108"/>
      <c r="F26" s="108"/>
      <c r="G26" s="108"/>
      <c r="H26" s="136"/>
      <c r="I26" s="136"/>
      <c r="J26" s="136"/>
      <c r="K26" s="133"/>
      <c r="L26" s="134"/>
      <c r="M26" s="134"/>
      <c r="N26" s="134"/>
      <c r="O26" s="134"/>
      <c r="P26" s="135"/>
      <c r="Q26" s="121"/>
      <c r="R26" s="122"/>
      <c r="S26" s="122"/>
      <c r="T26" s="122"/>
      <c r="U26" s="122"/>
    </row>
    <row r="27" spans="1:21" ht="19.899999999999999" customHeight="1" x14ac:dyDescent="0.25">
      <c r="B27" s="109" t="s">
        <v>110</v>
      </c>
      <c r="C27" s="110"/>
      <c r="D27" s="111"/>
      <c r="E27" s="115"/>
      <c r="F27" s="116"/>
      <c r="G27" s="117"/>
      <c r="H27" s="115" t="s">
        <v>111</v>
      </c>
      <c r="I27" s="116"/>
      <c r="J27" s="117"/>
      <c r="K27" s="123" t="s">
        <v>109</v>
      </c>
      <c r="L27" s="124"/>
      <c r="M27" s="124"/>
      <c r="N27" s="124"/>
      <c r="O27" s="124"/>
      <c r="P27" s="125"/>
      <c r="R27" s="137"/>
      <c r="S27" s="137"/>
      <c r="T27" s="137"/>
      <c r="U27" s="137"/>
    </row>
    <row r="28" spans="1:21" ht="19.899999999999999" customHeight="1" x14ac:dyDescent="0.25">
      <c r="B28" s="112"/>
      <c r="C28" s="113"/>
      <c r="D28" s="114"/>
      <c r="E28" s="118"/>
      <c r="F28" s="119"/>
      <c r="G28" s="120"/>
      <c r="H28" s="118"/>
      <c r="I28" s="119"/>
      <c r="J28" s="120"/>
      <c r="K28" s="126"/>
      <c r="L28" s="127"/>
      <c r="M28" s="127"/>
      <c r="N28" s="127"/>
      <c r="O28" s="127"/>
      <c r="P28" s="128"/>
      <c r="R28" s="137"/>
      <c r="S28" s="137"/>
      <c r="T28" s="137"/>
      <c r="U28" s="137"/>
    </row>
    <row r="29" spans="1:21" ht="19.899999999999999" customHeight="1" x14ac:dyDescent="0.25">
      <c r="B29" s="95" t="s">
        <v>100</v>
      </c>
      <c r="C29" s="95"/>
      <c r="D29" s="95"/>
      <c r="E29" s="108"/>
      <c r="F29" s="108"/>
      <c r="G29" s="108"/>
      <c r="H29" s="108" t="s">
        <v>53</v>
      </c>
      <c r="I29" s="108"/>
      <c r="J29" s="108"/>
      <c r="K29" s="133" t="s">
        <v>69</v>
      </c>
      <c r="L29" s="134"/>
      <c r="M29" s="134"/>
      <c r="N29" s="134"/>
      <c r="O29" s="134"/>
      <c r="P29" s="135"/>
      <c r="R29" s="25"/>
      <c r="S29" s="25"/>
      <c r="T29" s="25"/>
      <c r="U29" s="25"/>
    </row>
    <row r="30" spans="1:21" ht="19.899999999999999" customHeight="1" x14ac:dyDescent="0.25">
      <c r="B30" s="95"/>
      <c r="C30" s="95"/>
      <c r="D30" s="95"/>
      <c r="E30" s="108"/>
      <c r="F30" s="108"/>
      <c r="G30" s="108"/>
      <c r="H30" s="108"/>
      <c r="I30" s="108"/>
      <c r="J30" s="108"/>
      <c r="K30" s="133"/>
      <c r="L30" s="134"/>
      <c r="M30" s="134"/>
      <c r="N30" s="134"/>
      <c r="O30" s="134"/>
      <c r="P30" s="135"/>
      <c r="R30" s="25"/>
      <c r="S30" s="25"/>
      <c r="T30" s="25"/>
      <c r="U30" s="25"/>
    </row>
    <row r="31" spans="1:21" ht="19.899999999999999" customHeight="1" x14ac:dyDescent="0.25">
      <c r="B31" s="95" t="s">
        <v>101</v>
      </c>
      <c r="C31" s="95"/>
      <c r="D31" s="95"/>
      <c r="E31" s="108"/>
      <c r="F31" s="108"/>
      <c r="G31" s="108"/>
      <c r="H31" s="108"/>
      <c r="I31" s="108"/>
      <c r="J31" s="108"/>
      <c r="K31" s="133" t="s">
        <v>67</v>
      </c>
      <c r="L31" s="134"/>
      <c r="M31" s="134"/>
      <c r="N31" s="134"/>
      <c r="O31" s="134"/>
      <c r="P31" s="135"/>
      <c r="Q31" s="121"/>
      <c r="R31" s="122"/>
      <c r="S31" s="122"/>
      <c r="T31" s="122"/>
      <c r="U31" s="122"/>
    </row>
    <row r="32" spans="1:21" ht="19.899999999999999" customHeight="1" x14ac:dyDescent="0.25">
      <c r="B32" s="95"/>
      <c r="C32" s="95"/>
      <c r="D32" s="95"/>
      <c r="E32" s="108"/>
      <c r="F32" s="108"/>
      <c r="G32" s="108"/>
      <c r="H32" s="108"/>
      <c r="I32" s="108"/>
      <c r="J32" s="108"/>
      <c r="K32" s="133"/>
      <c r="L32" s="134"/>
      <c r="M32" s="134"/>
      <c r="N32" s="134"/>
      <c r="O32" s="134"/>
      <c r="P32" s="135"/>
      <c r="Q32" s="121"/>
      <c r="R32" s="122"/>
      <c r="S32" s="122"/>
      <c r="T32" s="122"/>
      <c r="U32" s="122"/>
    </row>
    <row r="33" spans="2:21" ht="19.899999999999999" customHeight="1" x14ac:dyDescent="0.25">
      <c r="B33" s="109" t="s">
        <v>128</v>
      </c>
      <c r="C33" s="110"/>
      <c r="D33" s="111"/>
      <c r="E33" s="115"/>
      <c r="F33" s="116"/>
      <c r="G33" s="116"/>
      <c r="H33" s="116"/>
      <c r="I33" s="116"/>
      <c r="J33" s="117"/>
      <c r="K33" s="123"/>
      <c r="L33" s="124"/>
      <c r="M33" s="124"/>
      <c r="N33" s="124"/>
      <c r="O33" s="124"/>
      <c r="P33" s="125"/>
      <c r="Q33" s="23"/>
      <c r="R33" s="24"/>
      <c r="S33" s="24"/>
      <c r="T33" s="24"/>
      <c r="U33" s="24"/>
    </row>
    <row r="34" spans="2:21" ht="19.899999999999999" customHeight="1" x14ac:dyDescent="0.25">
      <c r="B34" s="112"/>
      <c r="C34" s="113"/>
      <c r="D34" s="114"/>
      <c r="E34" s="118"/>
      <c r="F34" s="119"/>
      <c r="G34" s="119"/>
      <c r="H34" s="119"/>
      <c r="I34" s="119"/>
      <c r="J34" s="120"/>
      <c r="K34" s="126"/>
      <c r="L34" s="127"/>
      <c r="M34" s="127"/>
      <c r="N34" s="127"/>
      <c r="O34" s="127"/>
      <c r="P34" s="128"/>
      <c r="Q34" s="23"/>
      <c r="R34" s="24"/>
      <c r="S34" s="24"/>
      <c r="T34" s="24"/>
      <c r="U34" s="24"/>
    </row>
    <row r="35" spans="2:21" ht="19.899999999999999" customHeight="1" x14ac:dyDescent="0.25">
      <c r="B35" s="99" t="s">
        <v>102</v>
      </c>
      <c r="C35" s="99"/>
      <c r="D35" s="99"/>
      <c r="E35" s="129"/>
      <c r="F35" s="130"/>
      <c r="G35" s="130"/>
      <c r="H35" s="130"/>
      <c r="I35" s="130"/>
      <c r="J35" s="131"/>
      <c r="K35" s="133" t="s">
        <v>70</v>
      </c>
      <c r="L35" s="134"/>
      <c r="M35" s="134"/>
      <c r="N35" s="134"/>
      <c r="O35" s="134"/>
      <c r="P35" s="135"/>
      <c r="Q35" s="121"/>
      <c r="R35" s="122"/>
      <c r="S35" s="122"/>
      <c r="T35" s="122"/>
      <c r="U35" s="122"/>
    </row>
    <row r="36" spans="2:21" ht="19.899999999999999" customHeight="1" x14ac:dyDescent="0.25">
      <c r="B36" s="99"/>
      <c r="C36" s="99"/>
      <c r="D36" s="99"/>
      <c r="E36" s="132"/>
      <c r="F36" s="130"/>
      <c r="G36" s="130"/>
      <c r="H36" s="130"/>
      <c r="I36" s="130"/>
      <c r="J36" s="131"/>
      <c r="K36" s="133"/>
      <c r="L36" s="134"/>
      <c r="M36" s="134"/>
      <c r="N36" s="134"/>
      <c r="O36" s="134"/>
      <c r="P36" s="135"/>
      <c r="Q36" s="121"/>
      <c r="R36" s="122"/>
      <c r="S36" s="122"/>
      <c r="T36" s="122"/>
      <c r="U36" s="122"/>
    </row>
    <row r="37" spans="2:21" ht="15" customHeight="1" x14ac:dyDescent="0.25">
      <c r="B37" s="99" t="s">
        <v>103</v>
      </c>
      <c r="C37" s="99"/>
      <c r="D37" s="99"/>
      <c r="E37" s="108"/>
      <c r="F37" s="108"/>
      <c r="G37" s="108"/>
      <c r="H37" s="108"/>
      <c r="I37" s="108"/>
      <c r="J37" s="108"/>
    </row>
    <row r="38" spans="2:21" ht="15" customHeight="1" x14ac:dyDescent="0.25">
      <c r="B38" s="99"/>
      <c r="C38" s="99"/>
      <c r="D38" s="99"/>
      <c r="E38" s="108"/>
      <c r="F38" s="108"/>
      <c r="G38" s="108"/>
      <c r="H38" s="108"/>
      <c r="I38" s="108"/>
      <c r="J38" s="108"/>
    </row>
    <row r="39" spans="2:21" ht="15" customHeight="1" x14ac:dyDescent="0.25">
      <c r="B39" s="109" t="s">
        <v>129</v>
      </c>
      <c r="C39" s="110"/>
      <c r="D39" s="111"/>
      <c r="E39" s="115"/>
      <c r="F39" s="116"/>
      <c r="G39" s="116"/>
      <c r="H39" s="116"/>
      <c r="I39" s="116"/>
      <c r="J39" s="117"/>
    </row>
    <row r="40" spans="2:21" ht="15" customHeight="1" x14ac:dyDescent="0.25">
      <c r="B40" s="112"/>
      <c r="C40" s="113"/>
      <c r="D40" s="114"/>
      <c r="E40" s="118"/>
      <c r="F40" s="119"/>
      <c r="G40" s="119"/>
      <c r="H40" s="119"/>
      <c r="I40" s="119"/>
      <c r="J40" s="120"/>
    </row>
    <row r="41" spans="2:21" ht="18" customHeight="1" x14ac:dyDescent="0.25">
      <c r="B41" s="99" t="s">
        <v>130</v>
      </c>
      <c r="C41" s="99"/>
      <c r="D41" s="99"/>
      <c r="E41" s="96" t="s">
        <v>64</v>
      </c>
      <c r="F41" s="97"/>
      <c r="G41" s="97"/>
      <c r="H41" s="97"/>
      <c r="I41" s="97"/>
      <c r="J41" s="98"/>
      <c r="K41" s="93"/>
      <c r="L41" s="94"/>
      <c r="M41" s="94"/>
      <c r="N41" s="94"/>
      <c r="O41" s="94"/>
    </row>
    <row r="42" spans="2:21" ht="18" customHeight="1" x14ac:dyDescent="0.25">
      <c r="B42" s="99"/>
      <c r="C42" s="99"/>
      <c r="D42" s="99"/>
      <c r="E42" s="96"/>
      <c r="F42" s="97"/>
      <c r="G42" s="97"/>
      <c r="H42" s="97"/>
      <c r="I42" s="97"/>
      <c r="J42" s="98"/>
      <c r="K42" s="93"/>
      <c r="L42" s="94"/>
      <c r="M42" s="94"/>
      <c r="N42" s="94"/>
      <c r="O42" s="94"/>
    </row>
    <row r="43" spans="2:21" ht="18" customHeight="1" x14ac:dyDescent="0.25">
      <c r="B43" s="95" t="s">
        <v>131</v>
      </c>
      <c r="C43" s="95"/>
      <c r="D43" s="95"/>
      <c r="E43" s="96" t="s">
        <v>58</v>
      </c>
      <c r="F43" s="97"/>
      <c r="G43" s="97"/>
      <c r="H43" s="97"/>
      <c r="I43" s="97"/>
      <c r="J43" s="98"/>
      <c r="K43" s="1"/>
      <c r="L43" s="1"/>
      <c r="M43" s="1"/>
      <c r="N43" s="1"/>
      <c r="O43" s="1"/>
      <c r="P43" s="1"/>
    </row>
    <row r="44" spans="2:21" ht="18" customHeight="1" x14ac:dyDescent="0.25">
      <c r="B44" s="95"/>
      <c r="C44" s="95"/>
      <c r="D44" s="95"/>
      <c r="E44" s="96"/>
      <c r="F44" s="97"/>
      <c r="G44" s="97"/>
      <c r="H44" s="97"/>
      <c r="I44" s="97"/>
      <c r="J44" s="98"/>
      <c r="K44" s="1"/>
      <c r="L44" s="1"/>
      <c r="M44" s="1"/>
      <c r="N44" s="1"/>
      <c r="O44" s="1"/>
      <c r="P44" s="1"/>
    </row>
    <row r="45" spans="2:21" ht="18" customHeight="1" thickBot="1" x14ac:dyDescent="0.3">
      <c r="B45" s="95" t="s">
        <v>104</v>
      </c>
      <c r="C45" s="99"/>
      <c r="D45" s="99"/>
      <c r="E45" s="100" t="s">
        <v>58</v>
      </c>
      <c r="F45" s="101"/>
      <c r="G45" s="101"/>
      <c r="H45" s="101"/>
      <c r="I45" s="101"/>
      <c r="J45" s="102"/>
      <c r="K45" s="1"/>
      <c r="L45" s="1"/>
      <c r="M45" s="1"/>
      <c r="N45" s="3"/>
      <c r="O45" s="3"/>
      <c r="P45" s="3"/>
    </row>
    <row r="46" spans="2:21" ht="18" customHeight="1" thickTop="1" x14ac:dyDescent="0.25">
      <c r="B46" s="99"/>
      <c r="C46" s="99"/>
      <c r="D46" s="99"/>
      <c r="E46" s="103"/>
      <c r="F46" s="104"/>
      <c r="G46" s="104"/>
      <c r="H46" s="104"/>
      <c r="I46" s="104"/>
      <c r="J46" s="105"/>
      <c r="K46" s="1"/>
      <c r="L46" s="1"/>
      <c r="M46" s="1"/>
      <c r="N46" s="3"/>
      <c r="O46" s="3"/>
      <c r="P46" s="3"/>
    </row>
    <row r="47" spans="2:21" ht="18" customHeight="1" x14ac:dyDescent="0.25">
      <c r="B47" s="99" t="s">
        <v>105</v>
      </c>
      <c r="C47" s="99"/>
      <c r="D47" s="99"/>
      <c r="E47" s="96" t="s">
        <v>59</v>
      </c>
      <c r="F47" s="97"/>
      <c r="G47" s="97"/>
      <c r="H47" s="97"/>
      <c r="I47" s="97"/>
      <c r="J47" s="98"/>
      <c r="K47" s="106"/>
      <c r="L47" s="107"/>
      <c r="M47" s="107"/>
      <c r="N47" s="107"/>
      <c r="O47" s="107"/>
      <c r="P47" s="3"/>
    </row>
    <row r="48" spans="2:21" ht="18" customHeight="1" x14ac:dyDescent="0.25">
      <c r="B48" s="99"/>
      <c r="C48" s="99"/>
      <c r="D48" s="99"/>
      <c r="E48" s="96"/>
      <c r="F48" s="97"/>
      <c r="G48" s="97"/>
      <c r="H48" s="97"/>
      <c r="I48" s="97"/>
      <c r="J48" s="98"/>
      <c r="K48" s="106"/>
      <c r="L48" s="107"/>
      <c r="M48" s="107"/>
      <c r="N48" s="107"/>
      <c r="O48" s="107"/>
      <c r="P48" s="3"/>
    </row>
    <row r="49" spans="2:16" ht="18" customHeight="1" x14ac:dyDescent="0.25">
      <c r="B49" s="78" t="s">
        <v>106</v>
      </c>
      <c r="C49" s="78"/>
      <c r="D49" s="78"/>
      <c r="E49" s="80" t="s">
        <v>60</v>
      </c>
      <c r="F49" s="81"/>
      <c r="G49" s="81"/>
      <c r="H49" s="81"/>
      <c r="I49" s="81"/>
      <c r="J49" s="82"/>
      <c r="K49" s="83"/>
      <c r="L49" s="84"/>
      <c r="M49" s="84"/>
      <c r="N49" s="84"/>
      <c r="O49" s="84"/>
      <c r="P49" s="3"/>
    </row>
    <row r="50" spans="2:16" ht="18" customHeight="1" x14ac:dyDescent="0.25">
      <c r="B50" s="79"/>
      <c r="C50" s="79"/>
      <c r="D50" s="79"/>
      <c r="E50" s="80"/>
      <c r="F50" s="81"/>
      <c r="G50" s="81"/>
      <c r="H50" s="81"/>
      <c r="I50" s="81"/>
      <c r="J50" s="82"/>
      <c r="K50" s="83"/>
      <c r="L50" s="84"/>
      <c r="M50" s="84"/>
      <c r="N50" s="84"/>
      <c r="O50" s="84"/>
      <c r="P50" s="3"/>
    </row>
    <row r="51" spans="2:16" ht="18" customHeight="1" x14ac:dyDescent="0.25">
      <c r="B51" s="85" t="s">
        <v>107</v>
      </c>
      <c r="C51" s="85"/>
      <c r="D51" s="85"/>
      <c r="E51" s="87"/>
      <c r="F51" s="88"/>
      <c r="G51" s="89"/>
      <c r="H51" s="87"/>
      <c r="I51" s="88"/>
      <c r="J51" s="89"/>
      <c r="K51" s="3"/>
      <c r="L51" s="3"/>
      <c r="M51" s="3"/>
      <c r="N51" s="3"/>
      <c r="O51" s="3"/>
      <c r="P51" s="3"/>
    </row>
    <row r="52" spans="2:16" ht="18" customHeight="1" x14ac:dyDescent="0.25">
      <c r="B52" s="86"/>
      <c r="C52" s="86"/>
      <c r="D52" s="86"/>
      <c r="E52" s="90"/>
      <c r="F52" s="91"/>
      <c r="G52" s="92"/>
      <c r="H52" s="90"/>
      <c r="I52" s="91"/>
      <c r="J52" s="92"/>
      <c r="K52" s="3"/>
      <c r="L52" s="3"/>
      <c r="M52" s="3"/>
      <c r="N52" s="3"/>
      <c r="O52" s="3"/>
      <c r="P52" s="3"/>
    </row>
    <row r="53" spans="2:16" ht="15.75" thickBot="1" x14ac:dyDescent="0.3"/>
    <row r="54" spans="2:16" ht="31.15" customHeight="1" thickTop="1" thickBot="1" x14ac:dyDescent="0.3">
      <c r="B54" s="63" t="s">
        <v>54</v>
      </c>
      <c r="C54" s="64"/>
      <c r="D54" s="64"/>
      <c r="E54" s="64"/>
      <c r="F54" s="64"/>
      <c r="G54" s="64"/>
      <c r="H54" s="64"/>
      <c r="I54" s="65"/>
      <c r="J54" s="66" t="s">
        <v>55</v>
      </c>
      <c r="K54" s="67"/>
      <c r="L54" s="67"/>
      <c r="M54" s="67"/>
      <c r="N54" s="67"/>
      <c r="O54" s="67"/>
      <c r="P54" s="68"/>
    </row>
    <row r="55" spans="2:16" ht="14.65" customHeight="1" thickTop="1" x14ac:dyDescent="0.25">
      <c r="B55" s="69" t="s">
        <v>90</v>
      </c>
      <c r="C55" s="70"/>
      <c r="D55" s="70"/>
      <c r="E55" s="70"/>
      <c r="F55" s="70"/>
      <c r="G55" s="70"/>
      <c r="H55" s="70"/>
      <c r="I55" s="71"/>
      <c r="J55" s="56"/>
      <c r="K55" s="57"/>
      <c r="L55" s="57"/>
      <c r="M55" s="57"/>
      <c r="N55" s="57"/>
      <c r="O55" s="57"/>
      <c r="P55" s="58"/>
    </row>
    <row r="56" spans="2:16" ht="14.65" customHeight="1" x14ac:dyDescent="0.25">
      <c r="B56" s="72"/>
      <c r="C56" s="73"/>
      <c r="D56" s="73"/>
      <c r="E56" s="73"/>
      <c r="F56" s="73"/>
      <c r="G56" s="73"/>
      <c r="H56" s="73"/>
      <c r="I56" s="74"/>
      <c r="J56" s="56"/>
      <c r="K56" s="57"/>
      <c r="L56" s="57"/>
      <c r="M56" s="57"/>
      <c r="N56" s="57"/>
      <c r="O56" s="57"/>
      <c r="P56" s="58"/>
    </row>
    <row r="57" spans="2:16" ht="14.65" customHeight="1" x14ac:dyDescent="0.25">
      <c r="B57" s="72"/>
      <c r="C57" s="73"/>
      <c r="D57" s="73"/>
      <c r="E57" s="73"/>
      <c r="F57" s="73"/>
      <c r="G57" s="73"/>
      <c r="H57" s="73"/>
      <c r="I57" s="74"/>
      <c r="J57" s="56"/>
      <c r="K57" s="57"/>
      <c r="L57" s="57"/>
      <c r="M57" s="57"/>
      <c r="N57" s="57"/>
      <c r="O57" s="57"/>
      <c r="P57" s="58"/>
    </row>
    <row r="58" spans="2:16" ht="14.65" customHeight="1" x14ac:dyDescent="0.25">
      <c r="B58" s="72"/>
      <c r="C58" s="73"/>
      <c r="D58" s="73"/>
      <c r="E58" s="73"/>
      <c r="F58" s="73"/>
      <c r="G58" s="73"/>
      <c r="H58" s="73"/>
      <c r="I58" s="74"/>
      <c r="J58" s="56"/>
      <c r="K58" s="57"/>
      <c r="L58" s="57"/>
      <c r="M58" s="57"/>
      <c r="N58" s="57"/>
      <c r="O58" s="57"/>
      <c r="P58" s="58"/>
    </row>
    <row r="59" spans="2:16" ht="14.65" customHeight="1" x14ac:dyDescent="0.25">
      <c r="B59" s="72"/>
      <c r="C59" s="73"/>
      <c r="D59" s="73"/>
      <c r="E59" s="73"/>
      <c r="F59" s="73"/>
      <c r="G59" s="73"/>
      <c r="H59" s="73"/>
      <c r="I59" s="74"/>
      <c r="J59" s="56"/>
      <c r="K59" s="57"/>
      <c r="L59" s="57"/>
      <c r="M59" s="57"/>
      <c r="N59" s="57"/>
      <c r="O59" s="57"/>
      <c r="P59" s="58"/>
    </row>
    <row r="60" spans="2:16" ht="14.65" customHeight="1" x14ac:dyDescent="0.25">
      <c r="B60" s="72"/>
      <c r="C60" s="73"/>
      <c r="D60" s="73"/>
      <c r="E60" s="73"/>
      <c r="F60" s="73"/>
      <c r="G60" s="73"/>
      <c r="H60" s="73"/>
      <c r="I60" s="74"/>
      <c r="J60" s="56"/>
      <c r="K60" s="57"/>
      <c r="L60" s="57"/>
      <c r="M60" s="57"/>
      <c r="N60" s="57"/>
      <c r="O60" s="57"/>
      <c r="P60" s="58"/>
    </row>
    <row r="61" spans="2:16" ht="14.65" customHeight="1" x14ac:dyDescent="0.25">
      <c r="B61" s="72"/>
      <c r="C61" s="73"/>
      <c r="D61" s="73"/>
      <c r="E61" s="73"/>
      <c r="F61" s="73"/>
      <c r="G61" s="73"/>
      <c r="H61" s="73"/>
      <c r="I61" s="74"/>
      <c r="J61" s="56"/>
      <c r="K61" s="57"/>
      <c r="L61" s="57"/>
      <c r="M61" s="57"/>
      <c r="N61" s="57"/>
      <c r="O61" s="57"/>
      <c r="P61" s="58"/>
    </row>
    <row r="62" spans="2:16" ht="14.65" customHeight="1" x14ac:dyDescent="0.25">
      <c r="B62" s="72"/>
      <c r="C62" s="73"/>
      <c r="D62" s="73"/>
      <c r="E62" s="73"/>
      <c r="F62" s="73"/>
      <c r="G62" s="73"/>
      <c r="H62" s="73"/>
      <c r="I62" s="74"/>
      <c r="J62" s="56"/>
      <c r="K62" s="57"/>
      <c r="L62" s="57"/>
      <c r="M62" s="57"/>
      <c r="N62" s="57"/>
      <c r="O62" s="57"/>
      <c r="P62" s="58"/>
    </row>
    <row r="63" spans="2:16" ht="14.65" customHeight="1" x14ac:dyDescent="0.25">
      <c r="B63" s="72"/>
      <c r="C63" s="73"/>
      <c r="D63" s="73"/>
      <c r="E63" s="73"/>
      <c r="F63" s="73"/>
      <c r="G63" s="73"/>
      <c r="H63" s="73"/>
      <c r="I63" s="74"/>
      <c r="J63" s="56"/>
      <c r="K63" s="57"/>
      <c r="L63" s="57"/>
      <c r="M63" s="57"/>
      <c r="N63" s="57"/>
      <c r="O63" s="57"/>
      <c r="P63" s="58"/>
    </row>
    <row r="64" spans="2:16" ht="15" customHeight="1" thickBot="1" x14ac:dyDescent="0.3">
      <c r="B64" s="75"/>
      <c r="C64" s="76"/>
      <c r="D64" s="76"/>
      <c r="E64" s="76"/>
      <c r="F64" s="76"/>
      <c r="G64" s="76"/>
      <c r="H64" s="76"/>
      <c r="I64" s="77"/>
      <c r="J64" s="59"/>
      <c r="K64" s="60"/>
      <c r="L64" s="60"/>
      <c r="M64" s="60"/>
      <c r="N64" s="60"/>
      <c r="O64" s="60"/>
      <c r="P64" s="61"/>
    </row>
    <row r="65" spans="1:16" ht="17.25" thickTop="1" thickBot="1" x14ac:dyDescent="0.3">
      <c r="K65" s="17" t="s">
        <v>9</v>
      </c>
      <c r="L65" s="62"/>
      <c r="M65" s="62"/>
      <c r="N65" s="62"/>
      <c r="O65" s="62"/>
      <c r="P65" s="7"/>
    </row>
    <row r="66" spans="1:16" ht="29.45" customHeight="1" thickBot="1" x14ac:dyDescent="0.3">
      <c r="B66" s="55" t="s">
        <v>114</v>
      </c>
      <c r="C66" s="55"/>
      <c r="D66" s="55"/>
      <c r="E66" s="55"/>
      <c r="F66" s="55"/>
      <c r="G66" s="55"/>
      <c r="H66" s="55"/>
      <c r="I66" s="55"/>
      <c r="K66" s="8"/>
      <c r="L66" s="21"/>
      <c r="M66" s="21"/>
      <c r="N66" s="21"/>
      <c r="O66" s="21"/>
      <c r="P66" s="7"/>
    </row>
    <row r="67" spans="1:16" ht="29.45" customHeight="1" thickBot="1" x14ac:dyDescent="0.3">
      <c r="B67" s="55" t="s">
        <v>114</v>
      </c>
      <c r="C67" s="55"/>
      <c r="D67" s="55"/>
      <c r="E67" s="55"/>
      <c r="F67" s="55"/>
      <c r="G67" s="55"/>
      <c r="H67" s="55"/>
      <c r="I67" s="55"/>
      <c r="K67" s="8"/>
      <c r="L67" s="21"/>
      <c r="M67" s="21"/>
      <c r="N67" s="21"/>
      <c r="O67" s="21"/>
      <c r="P67" s="7"/>
    </row>
    <row r="68" spans="1:16" ht="29.45" customHeight="1" thickBot="1" x14ac:dyDescent="0.3">
      <c r="B68" s="55" t="s">
        <v>114</v>
      </c>
      <c r="C68" s="55"/>
      <c r="D68" s="55"/>
      <c r="E68" s="55"/>
      <c r="F68" s="55"/>
      <c r="G68" s="55"/>
      <c r="H68" s="55"/>
      <c r="I68" s="55"/>
      <c r="K68" s="8"/>
      <c r="L68" s="21"/>
      <c r="M68" s="21"/>
      <c r="N68" s="21"/>
      <c r="O68" s="21"/>
      <c r="P68" s="7"/>
    </row>
    <row r="69" spans="1:16" customFormat="1" ht="29.25" customHeight="1" thickBot="1" x14ac:dyDescent="0.3">
      <c r="A69" s="19"/>
      <c r="B69" s="55" t="s">
        <v>114</v>
      </c>
      <c r="C69" s="55"/>
      <c r="D69" s="55"/>
      <c r="E69" s="55"/>
      <c r="F69" s="55"/>
      <c r="G69" s="55"/>
      <c r="H69" s="55"/>
      <c r="I69" s="55"/>
      <c r="J69" s="22"/>
      <c r="K69" s="20"/>
      <c r="L69" s="20"/>
      <c r="M69" s="20"/>
      <c r="N69" s="20"/>
      <c r="O69" s="20"/>
      <c r="P69" s="20"/>
    </row>
    <row r="70" spans="1:16" customFormat="1" ht="29.25" customHeight="1" thickBot="1" x14ac:dyDescent="0.3">
      <c r="A70" s="19"/>
      <c r="B70" s="52" t="s">
        <v>115</v>
      </c>
      <c r="C70" s="52"/>
      <c r="D70" s="52"/>
      <c r="E70" s="55"/>
      <c r="F70" s="55"/>
      <c r="G70" s="55"/>
      <c r="H70" s="55"/>
      <c r="I70" s="55"/>
      <c r="J70" s="22"/>
      <c r="K70" s="20"/>
      <c r="L70" s="20"/>
      <c r="M70" s="20"/>
      <c r="N70" s="20"/>
      <c r="O70" s="20"/>
      <c r="P70" s="20"/>
    </row>
    <row r="71" spans="1:16" customFormat="1" ht="29.25" customHeight="1" x14ac:dyDescent="0.25">
      <c r="A71" s="19"/>
      <c r="B71" s="53"/>
      <c r="C71" s="53"/>
      <c r="D71" s="53"/>
      <c r="E71" s="54"/>
      <c r="F71" s="54"/>
      <c r="G71" s="54"/>
      <c r="H71" s="54"/>
      <c r="I71" s="54"/>
      <c r="J71" s="22"/>
      <c r="K71" s="20"/>
      <c r="L71" s="20"/>
      <c r="M71" s="20"/>
      <c r="N71" s="20"/>
      <c r="O71" s="20"/>
      <c r="P71" s="20"/>
    </row>
    <row r="72" spans="1:16" customFormat="1" ht="29.25" customHeight="1" x14ac:dyDescent="0.25">
      <c r="A72" s="19"/>
      <c r="B72" s="22"/>
      <c r="C72" s="22"/>
      <c r="D72" s="22"/>
      <c r="E72" s="22"/>
      <c r="F72" s="22"/>
      <c r="G72" s="22"/>
      <c r="H72" s="22"/>
      <c r="I72" s="22"/>
      <c r="J72" s="22"/>
      <c r="K72" s="20"/>
      <c r="L72" s="20"/>
      <c r="M72" s="20"/>
      <c r="N72" s="20"/>
      <c r="O72" s="20"/>
      <c r="P72" s="20"/>
    </row>
    <row r="73" spans="1:16" customFormat="1" ht="29.25" customHeight="1" x14ac:dyDescent="0.25">
      <c r="A73" s="19"/>
      <c r="B73" s="169" t="s">
        <v>83</v>
      </c>
      <c r="C73" s="170"/>
      <c r="D73" s="44"/>
      <c r="E73" s="45"/>
      <c r="F73" s="45"/>
      <c r="G73" s="45"/>
      <c r="H73" s="45"/>
      <c r="I73" s="45"/>
      <c r="J73" s="46"/>
      <c r="K73" s="40"/>
      <c r="L73" s="41"/>
      <c r="M73" s="41"/>
      <c r="N73" s="41"/>
      <c r="O73" s="41"/>
      <c r="P73" s="41"/>
    </row>
    <row r="74" spans="1:16" customFormat="1" ht="29.25" customHeight="1" x14ac:dyDescent="0.25">
      <c r="A74" s="19"/>
      <c r="B74" s="42" t="s">
        <v>82</v>
      </c>
      <c r="C74" s="43"/>
      <c r="D74" s="44"/>
      <c r="E74" s="45"/>
      <c r="F74" s="45"/>
      <c r="G74" s="45"/>
      <c r="H74" s="45"/>
      <c r="I74" s="45"/>
      <c r="J74" s="46"/>
      <c r="K74" s="47"/>
      <c r="L74" s="48"/>
      <c r="M74" s="48"/>
      <c r="N74" s="48"/>
      <c r="O74" s="48"/>
      <c r="P74" s="40"/>
    </row>
    <row r="75" spans="1:16" customFormat="1" ht="29.25" customHeight="1" x14ac:dyDescent="0.25">
      <c r="A75" s="19"/>
      <c r="B75" s="49"/>
      <c r="C75" s="50"/>
      <c r="D75" s="49"/>
      <c r="E75" s="50"/>
      <c r="F75" s="50"/>
      <c r="G75" s="50"/>
      <c r="H75" s="50"/>
      <c r="I75" s="50"/>
      <c r="J75" s="51"/>
      <c r="K75" s="47"/>
      <c r="L75" s="48"/>
      <c r="M75" s="48"/>
      <c r="N75" s="48"/>
      <c r="O75" s="48"/>
      <c r="P75" s="40"/>
    </row>
    <row r="76" spans="1:16" customFormat="1" ht="29.25" customHeight="1" x14ac:dyDescent="0.25">
      <c r="A76" s="19"/>
      <c r="B76" s="22"/>
      <c r="C76" s="22"/>
      <c r="D76" s="22"/>
      <c r="E76" s="22"/>
      <c r="F76" s="22"/>
      <c r="G76" s="22"/>
      <c r="H76" s="22"/>
      <c r="I76" s="22"/>
      <c r="J76" s="22"/>
      <c r="K76" s="20"/>
      <c r="L76" s="20"/>
      <c r="M76" s="20"/>
      <c r="N76" s="20"/>
      <c r="O76" s="20"/>
      <c r="P76" s="20"/>
    </row>
    <row r="77" spans="1:16" customFormat="1" ht="29.25" customHeight="1" x14ac:dyDescent="0.25">
      <c r="A77" s="19"/>
      <c r="B77" s="36" t="s">
        <v>108</v>
      </c>
      <c r="C77" s="36"/>
      <c r="D77" s="36"/>
      <c r="E77" s="36"/>
      <c r="F77" s="36"/>
      <c r="G77" s="36"/>
      <c r="H77" s="22"/>
      <c r="I77" s="22"/>
      <c r="J77" s="22"/>
      <c r="K77" s="20"/>
      <c r="L77" s="20"/>
      <c r="M77" s="20"/>
      <c r="N77" s="20"/>
      <c r="O77" s="20"/>
      <c r="P77" s="20"/>
    </row>
    <row r="79" spans="1:16" ht="14.25" customHeight="1" x14ac:dyDescent="0.25">
      <c r="B79" s="37" t="s">
        <v>112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8" t="str">
        <f>IF(M4="","",M4)</f>
        <v/>
      </c>
      <c r="N79" s="38"/>
      <c r="O79" s="38"/>
      <c r="P79" s="38"/>
    </row>
    <row r="80" spans="1:16" ht="14.45" customHeight="1" x14ac:dyDescent="0.25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8"/>
      <c r="N80" s="38"/>
      <c r="O80" s="38"/>
      <c r="P80" s="38"/>
    </row>
    <row r="81" spans="2:17" ht="14.45" customHeight="1" x14ac:dyDescent="0.25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8"/>
      <c r="N81" s="38"/>
      <c r="O81" s="38"/>
      <c r="P81" s="38"/>
    </row>
    <row r="82" spans="2:17" ht="15" customHeight="1" x14ac:dyDescent="0.25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8"/>
      <c r="N82" s="38"/>
      <c r="O82" s="38"/>
      <c r="P82" s="38"/>
    </row>
    <row r="83" spans="2:17" ht="18.75" x14ac:dyDescent="0.3">
      <c r="B83" s="39" t="s">
        <v>122</v>
      </c>
      <c r="C83" s="39"/>
      <c r="D83" s="39"/>
      <c r="E83" s="39"/>
      <c r="F83" s="39"/>
      <c r="G83" s="39"/>
      <c r="H83" s="39"/>
      <c r="I83" s="39"/>
      <c r="J83" s="39"/>
      <c r="K83" s="39"/>
    </row>
    <row r="84" spans="2:17" x14ac:dyDescent="0.25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2:17" x14ac:dyDescent="0.25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spans="2:17" x14ac:dyDescent="0.25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spans="2:17" x14ac:dyDescent="0.25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2:17" x14ac:dyDescent="0.25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/>
      <c r="Q88"/>
    </row>
    <row r="89" spans="2:17" x14ac:dyDescent="0.25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/>
      <c r="Q89"/>
    </row>
    <row r="90" spans="2:17" x14ac:dyDescent="0.25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/>
      <c r="Q90"/>
    </row>
    <row r="91" spans="2:17" x14ac:dyDescent="0.25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/>
      <c r="Q91"/>
    </row>
    <row r="92" spans="2:17" x14ac:dyDescent="0.25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/>
      <c r="Q92"/>
    </row>
    <row r="93" spans="2:17" x14ac:dyDescent="0.25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/>
      <c r="Q93"/>
    </row>
    <row r="94" spans="2:17" x14ac:dyDescent="0.25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/>
      <c r="Q94"/>
    </row>
    <row r="95" spans="2:17" x14ac:dyDescent="0.25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/>
      <c r="Q95"/>
    </row>
    <row r="96" spans="2:17" x14ac:dyDescent="0.25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/>
      <c r="Q96"/>
    </row>
    <row r="97" spans="2:17" x14ac:dyDescent="0.25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/>
      <c r="Q97"/>
    </row>
    <row r="98" spans="2:17" x14ac:dyDescent="0.25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/>
      <c r="Q98"/>
    </row>
    <row r="99" spans="2:17" x14ac:dyDescent="0.25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/>
      <c r="Q99"/>
    </row>
    <row r="100" spans="2:17" x14ac:dyDescent="0.25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/>
      <c r="Q100"/>
    </row>
    <row r="101" spans="2:17" x14ac:dyDescent="0.25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/>
      <c r="Q101"/>
    </row>
    <row r="102" spans="2:17" x14ac:dyDescent="0.25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/>
      <c r="Q102"/>
    </row>
    <row r="103" spans="2:17" x14ac:dyDescent="0.25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/>
      <c r="Q103"/>
    </row>
    <row r="104" spans="2:17" x14ac:dyDescent="0.25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/>
      <c r="Q104"/>
    </row>
    <row r="105" spans="2:17" x14ac:dyDescent="0.25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/>
      <c r="Q105"/>
    </row>
    <row r="106" spans="2:17" x14ac:dyDescent="0.25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/>
      <c r="Q106"/>
    </row>
    <row r="107" spans="2:17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2:17" ht="18.75" x14ac:dyDescent="0.25">
      <c r="B108" s="33" t="s">
        <v>123</v>
      </c>
      <c r="C108" s="33"/>
      <c r="D108" s="33"/>
      <c r="E108" s="33"/>
      <c r="F108" s="33"/>
      <c r="G108" s="33"/>
      <c r="H108" s="33"/>
      <c r="I108" s="33"/>
      <c r="J108" s="33"/>
      <c r="K108"/>
      <c r="L108"/>
      <c r="M108"/>
      <c r="N108"/>
      <c r="O108"/>
      <c r="P108"/>
      <c r="Q108"/>
    </row>
    <row r="109" spans="2:17" x14ac:dyDescent="0.25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/>
      <c r="Q109"/>
    </row>
    <row r="110" spans="2:17" x14ac:dyDescent="0.25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/>
      <c r="Q110"/>
    </row>
    <row r="111" spans="2:17" x14ac:dyDescent="0.25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/>
      <c r="Q111"/>
    </row>
    <row r="112" spans="2:17" x14ac:dyDescent="0.25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/>
      <c r="Q112"/>
    </row>
    <row r="113" spans="2:17" x14ac:dyDescent="0.25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/>
      <c r="Q113"/>
    </row>
    <row r="114" spans="2:17" x14ac:dyDescent="0.25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/>
      <c r="Q114"/>
    </row>
    <row r="115" spans="2:17" x14ac:dyDescent="0.25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/>
      <c r="Q115"/>
    </row>
    <row r="116" spans="2:17" x14ac:dyDescent="0.25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/>
      <c r="Q116"/>
    </row>
    <row r="117" spans="2:17" x14ac:dyDescent="0.25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/>
      <c r="Q117"/>
    </row>
    <row r="118" spans="2:17" x14ac:dyDescent="0.25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/>
      <c r="Q118"/>
    </row>
    <row r="119" spans="2:17" x14ac:dyDescent="0.25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/>
      <c r="Q119"/>
    </row>
    <row r="120" spans="2:17" x14ac:dyDescent="0.25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/>
      <c r="Q120"/>
    </row>
    <row r="121" spans="2:17" x14ac:dyDescent="0.25"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/>
      <c r="Q121"/>
    </row>
    <row r="122" spans="2:17" x14ac:dyDescent="0.25"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/>
      <c r="Q122"/>
    </row>
    <row r="123" spans="2:17" x14ac:dyDescent="0.25"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/>
      <c r="Q123"/>
    </row>
    <row r="124" spans="2:17" x14ac:dyDescent="0.25"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/>
      <c r="Q124"/>
    </row>
    <row r="125" spans="2:17" x14ac:dyDescent="0.25"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/>
      <c r="Q125"/>
    </row>
    <row r="126" spans="2:17" x14ac:dyDescent="0.25"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/>
      <c r="Q126"/>
    </row>
    <row r="127" spans="2:17" x14ac:dyDescent="0.25"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/>
      <c r="Q127"/>
    </row>
    <row r="128" spans="2:17" x14ac:dyDescent="0.25"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/>
      <c r="Q128"/>
    </row>
    <row r="129" spans="2:17" x14ac:dyDescent="0.25"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/>
      <c r="Q129"/>
    </row>
    <row r="130" spans="2:17" x14ac:dyDescent="0.25"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/>
      <c r="Q130"/>
    </row>
    <row r="131" spans="2:17" x14ac:dyDescent="0.25"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/>
      <c r="Q131"/>
    </row>
    <row r="132" spans="2:17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2:17" ht="18.75" x14ac:dyDescent="0.25">
      <c r="B133" s="33" t="s">
        <v>124</v>
      </c>
      <c r="C133" s="33"/>
      <c r="D133" s="33"/>
      <c r="E133" s="33"/>
      <c r="F133" s="33"/>
      <c r="G133" s="33"/>
      <c r="H133" s="33"/>
      <c r="I133" s="33"/>
      <c r="J133" s="33"/>
      <c r="K133"/>
      <c r="L133"/>
      <c r="M133"/>
      <c r="N133"/>
      <c r="O133"/>
      <c r="P133"/>
      <c r="Q133"/>
    </row>
    <row r="134" spans="2:17" x14ac:dyDescent="0.25"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/>
      <c r="Q134"/>
    </row>
    <row r="135" spans="2:17" x14ac:dyDescent="0.25"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/>
      <c r="Q135"/>
    </row>
    <row r="136" spans="2:17" x14ac:dyDescent="0.25"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/>
      <c r="Q136"/>
    </row>
    <row r="137" spans="2:17" x14ac:dyDescent="0.25"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/>
      <c r="Q137"/>
    </row>
    <row r="138" spans="2:17" x14ac:dyDescent="0.25"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/>
      <c r="Q138"/>
    </row>
    <row r="139" spans="2:17" x14ac:dyDescent="0.25"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/>
      <c r="Q139"/>
    </row>
    <row r="140" spans="2:17" x14ac:dyDescent="0.25"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/>
      <c r="Q140"/>
    </row>
    <row r="141" spans="2:17" x14ac:dyDescent="0.25"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/>
      <c r="Q141"/>
    </row>
    <row r="142" spans="2:17" x14ac:dyDescent="0.25"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/>
      <c r="Q142"/>
    </row>
    <row r="143" spans="2:17" x14ac:dyDescent="0.25"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/>
      <c r="Q143"/>
    </row>
    <row r="144" spans="2:17" x14ac:dyDescent="0.25"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/>
      <c r="Q144"/>
    </row>
    <row r="145" spans="2:17" x14ac:dyDescent="0.25"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/>
      <c r="Q145"/>
    </row>
    <row r="146" spans="2:17" x14ac:dyDescent="0.25"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/>
      <c r="Q146"/>
    </row>
    <row r="147" spans="2:17" x14ac:dyDescent="0.25"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/>
      <c r="Q147"/>
    </row>
    <row r="148" spans="2:17" x14ac:dyDescent="0.25"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/>
      <c r="Q148"/>
    </row>
    <row r="149" spans="2:17" x14ac:dyDescent="0.25"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/>
      <c r="Q149"/>
    </row>
    <row r="150" spans="2:17" x14ac:dyDescent="0.25"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/>
      <c r="Q150"/>
    </row>
    <row r="151" spans="2:17" x14ac:dyDescent="0.25"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/>
      <c r="Q151"/>
    </row>
    <row r="152" spans="2:17" x14ac:dyDescent="0.25"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/>
      <c r="Q152"/>
    </row>
    <row r="153" spans="2:17" x14ac:dyDescent="0.25"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/>
      <c r="Q153"/>
    </row>
    <row r="154" spans="2:17" x14ac:dyDescent="0.25"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/>
      <c r="Q154"/>
    </row>
    <row r="155" spans="2:17" x14ac:dyDescent="0.25"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/>
      <c r="Q155"/>
    </row>
    <row r="156" spans="2:17" x14ac:dyDescent="0.25"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/>
      <c r="Q156"/>
    </row>
    <row r="157" spans="2:17" x14ac:dyDescent="0.25">
      <c r="B157" s="34" t="s">
        <v>108</v>
      </c>
      <c r="C157" s="34"/>
      <c r="D157" s="34"/>
      <c r="E157" s="34"/>
      <c r="F157" s="34"/>
      <c r="G157" s="34"/>
      <c r="H157"/>
      <c r="I157"/>
      <c r="J157"/>
      <c r="K157"/>
      <c r="L157"/>
      <c r="M157"/>
      <c r="N157"/>
      <c r="O157"/>
      <c r="P157"/>
      <c r="Q157"/>
    </row>
    <row r="158" spans="2:17" ht="15.75" x14ac:dyDescent="0.25">
      <c r="B158" s="34"/>
      <c r="C158" s="34"/>
      <c r="D158" s="34"/>
      <c r="E158" s="34"/>
      <c r="F158" s="34"/>
      <c r="G158" s="34"/>
      <c r="H158"/>
      <c r="I158"/>
      <c r="J158"/>
      <c r="K158" s="8" t="s">
        <v>9</v>
      </c>
      <c r="L158" s="35"/>
      <c r="M158" s="35"/>
      <c r="N158" s="35"/>
      <c r="O158" s="35"/>
      <c r="P158"/>
      <c r="Q158" s="6"/>
    </row>
  </sheetData>
  <sheetProtection formatCells="0" formatColumns="0" formatRows="0" insertColumns="0" insertRows="0" insertHyperlinks="0" deleteColumns="0" deleteRows="0" sort="0" autoFilter="0" pivotTables="0"/>
  <mergeCells count="150">
    <mergeCell ref="B1:H1"/>
    <mergeCell ref="I1:K1"/>
    <mergeCell ref="L1:M1"/>
    <mergeCell ref="N1:P1"/>
    <mergeCell ref="B6:C6"/>
    <mergeCell ref="D6:G6"/>
    <mergeCell ref="J6:L6"/>
    <mergeCell ref="M6:P6"/>
    <mergeCell ref="J3:P3"/>
    <mergeCell ref="B3:G3"/>
    <mergeCell ref="J7:L7"/>
    <mergeCell ref="M7:P7"/>
    <mergeCell ref="B4:C4"/>
    <mergeCell ref="D4:G4"/>
    <mergeCell ref="J4:L4"/>
    <mergeCell ref="M4:P4"/>
    <mergeCell ref="B5:C5"/>
    <mergeCell ref="D5:G5"/>
    <mergeCell ref="J5:L5"/>
    <mergeCell ref="M5:P5"/>
    <mergeCell ref="J11:L11"/>
    <mergeCell ref="M11:P11"/>
    <mergeCell ref="J12:L12"/>
    <mergeCell ref="M12:P12"/>
    <mergeCell ref="J8:L8"/>
    <mergeCell ref="M8:P8"/>
    <mergeCell ref="J9:L9"/>
    <mergeCell ref="M9:P9"/>
    <mergeCell ref="J10:L10"/>
    <mergeCell ref="M10:P10"/>
    <mergeCell ref="B15:C15"/>
    <mergeCell ref="D15:G15"/>
    <mergeCell ref="B16:C16"/>
    <mergeCell ref="D16:G16"/>
    <mergeCell ref="B13:C13"/>
    <mergeCell ref="D13:G13"/>
    <mergeCell ref="J13:L13"/>
    <mergeCell ref="M13:P13"/>
    <mergeCell ref="J14:L14"/>
    <mergeCell ref="M14:P14"/>
    <mergeCell ref="Q25:U26"/>
    <mergeCell ref="B27:D28"/>
    <mergeCell ref="E27:G28"/>
    <mergeCell ref="H27:J28"/>
    <mergeCell ref="K27:P28"/>
    <mergeCell ref="R27:U28"/>
    <mergeCell ref="B17:C17"/>
    <mergeCell ref="D17:G17"/>
    <mergeCell ref="A19:Q21"/>
    <mergeCell ref="B23:D24"/>
    <mergeCell ref="E23:G24"/>
    <mergeCell ref="H23:J24"/>
    <mergeCell ref="K23:P24"/>
    <mergeCell ref="B29:D30"/>
    <mergeCell ref="E29:G30"/>
    <mergeCell ref="H29:J30"/>
    <mergeCell ref="K29:P30"/>
    <mergeCell ref="B31:D32"/>
    <mergeCell ref="E31:G32"/>
    <mergeCell ref="H31:J32"/>
    <mergeCell ref="K31:P32"/>
    <mergeCell ref="B25:D26"/>
    <mergeCell ref="E25:G26"/>
    <mergeCell ref="H25:J26"/>
    <mergeCell ref="K25:P26"/>
    <mergeCell ref="B37:D38"/>
    <mergeCell ref="E37:J38"/>
    <mergeCell ref="B39:D40"/>
    <mergeCell ref="E39:J40"/>
    <mergeCell ref="B41:D42"/>
    <mergeCell ref="E41:J42"/>
    <mergeCell ref="Q31:U32"/>
    <mergeCell ref="B33:D34"/>
    <mergeCell ref="E33:J34"/>
    <mergeCell ref="K33:P34"/>
    <mergeCell ref="B35:D36"/>
    <mergeCell ref="E35:J36"/>
    <mergeCell ref="K35:P36"/>
    <mergeCell ref="Q35:U36"/>
    <mergeCell ref="B49:D50"/>
    <mergeCell ref="E49:J50"/>
    <mergeCell ref="K49:O50"/>
    <mergeCell ref="B51:D52"/>
    <mergeCell ref="E51:G52"/>
    <mergeCell ref="H51:J52"/>
    <mergeCell ref="K41:O42"/>
    <mergeCell ref="B43:D44"/>
    <mergeCell ref="E43:J44"/>
    <mergeCell ref="B45:D46"/>
    <mergeCell ref="E45:J46"/>
    <mergeCell ref="B47:D48"/>
    <mergeCell ref="E47:J48"/>
    <mergeCell ref="K47:O48"/>
    <mergeCell ref="B54:I54"/>
    <mergeCell ref="J54:P54"/>
    <mergeCell ref="B55:I64"/>
    <mergeCell ref="J55:P55"/>
    <mergeCell ref="J56:P56"/>
    <mergeCell ref="J57:P57"/>
    <mergeCell ref="J58:P58"/>
    <mergeCell ref="J59:P59"/>
    <mergeCell ref="J60:P60"/>
    <mergeCell ref="J61:P61"/>
    <mergeCell ref="B73:C73"/>
    <mergeCell ref="D73:J73"/>
    <mergeCell ref="B67:D67"/>
    <mergeCell ref="E67:I67"/>
    <mergeCell ref="B68:D68"/>
    <mergeCell ref="E68:I68"/>
    <mergeCell ref="B69:D69"/>
    <mergeCell ref="E69:I69"/>
    <mergeCell ref="J62:P62"/>
    <mergeCell ref="J63:P63"/>
    <mergeCell ref="J64:P64"/>
    <mergeCell ref="L65:O65"/>
    <mergeCell ref="B66:D66"/>
    <mergeCell ref="E66:I66"/>
    <mergeCell ref="D14:G14"/>
    <mergeCell ref="B14:C14"/>
    <mergeCell ref="B109:O131"/>
    <mergeCell ref="B133:J133"/>
    <mergeCell ref="B134:O156"/>
    <mergeCell ref="B157:G158"/>
    <mergeCell ref="L158:O158"/>
    <mergeCell ref="B77:G77"/>
    <mergeCell ref="B79:L82"/>
    <mergeCell ref="M79:P82"/>
    <mergeCell ref="B83:K83"/>
    <mergeCell ref="B84:O106"/>
    <mergeCell ref="B108:J108"/>
    <mergeCell ref="K73:P73"/>
    <mergeCell ref="B74:C74"/>
    <mergeCell ref="D74:J74"/>
    <mergeCell ref="K74:P74"/>
    <mergeCell ref="B75:C75"/>
    <mergeCell ref="D75:J75"/>
    <mergeCell ref="K75:P75"/>
    <mergeCell ref="B70:D70"/>
    <mergeCell ref="E70:I70"/>
    <mergeCell ref="B71:D71"/>
    <mergeCell ref="E71:I71"/>
    <mergeCell ref="B8:G8"/>
    <mergeCell ref="B9:C9"/>
    <mergeCell ref="B12:C12"/>
    <mergeCell ref="D9:G9"/>
    <mergeCell ref="D12:G12"/>
    <mergeCell ref="D11:E11"/>
    <mergeCell ref="F11:G11"/>
    <mergeCell ref="D10:G10"/>
    <mergeCell ref="B10:C10"/>
  </mergeCells>
  <dataValidations count="6">
    <dataValidation type="list" allowBlank="1" showInputMessage="1" showErrorMessage="1" sqref="K35:P36" xr:uid="{FCE8AC94-EAC1-4126-BE80-FF8A4359DDE1}">
      <formula1>"коэффициент трения не превышает значение выработки ресурса сальника, коэффициент трения превышает значение выработки ресурса сальника"</formula1>
    </dataValidation>
    <dataValidation type="list" allowBlank="1" showInputMessage="1" showErrorMessage="1" sqref="K31:P32" xr:uid="{6FB797CE-EEF5-4A2E-83C1-22772D3A65EF}">
      <formula1>"действительный диапазон пружин соответствует рекомендованному, действительный диапазон пружин не соответствует рекомендованному"</formula1>
    </dataValidation>
    <dataValidation type="list" allowBlank="1" showInputMessage="1" showErrorMessage="1" sqref="K29:P30" xr:uid="{E80E9BE9-BCDA-4437-A1FA-F74EEF0492DA}">
      <formula1>"действительный ход клапана соответствует рекомендованному, действительный ход клапана не соответствует рекомендованному"</formula1>
    </dataValidation>
    <dataValidation type="list" allowBlank="1" showInputMessage="1" showErrorMessage="1" sqref="K25:P26" xr:uid="{8BF93F5C-9829-4D09-8975-35A72F9B4DE7}">
      <formula1>"среднее значение динамической ошибки соответствует рекомендованному, среднее значение динамической ошибки не соответствует рекомендованному"</formula1>
    </dataValidation>
    <dataValidation type="list" allowBlank="1" showInputMessage="1" showErrorMessage="1" sqref="B55:I64 E41:J50" xr:uid="{08BCBBFA-869B-4E92-8AEF-AD68DDC5595B}">
      <formula1>#REF!</formula1>
    </dataValidation>
    <dataValidation type="list" allowBlank="1" showInputMessage="1" showErrorMessage="1" sqref="K27:P28" xr:uid="{6B3E0817-4D27-4450-BDD3-3736E4107A91}">
      <formula1>"действительный диапазон i/p преобразователя соответствует рекомендованному, действительный диапазон i/p преобразователя не соответствует рекомендованному"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8" max="15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BA3F3A-8A0D-44B8-A3C1-466EA3C6BB7D}">
          <x14:formula1>
            <xm:f>ЗИП!$A:$A</xm:f>
          </x14:formula1>
          <xm:sqref>J55:P64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8E83-C32B-4652-B719-46FC30804E7A}">
  <dimension ref="A1:A37"/>
  <sheetViews>
    <sheetView view="pageBreakPreview" zoomScale="115" zoomScaleNormal="100" zoomScaleSheetLayoutView="115" workbookViewId="0">
      <selection activeCell="A13" sqref="A13"/>
    </sheetView>
  </sheetViews>
  <sheetFormatPr defaultRowHeight="15" x14ac:dyDescent="0.25"/>
  <cols>
    <col min="1" max="1" width="44.7109375" customWidth="1"/>
  </cols>
  <sheetData>
    <row r="1" spans="1:1" x14ac:dyDescent="0.25">
      <c r="A1" t="s">
        <v>13</v>
      </c>
    </row>
    <row r="2" spans="1:1" x14ac:dyDescent="0.25">
      <c r="A2" t="s">
        <v>77</v>
      </c>
    </row>
    <row r="3" spans="1:1" x14ac:dyDescent="0.25">
      <c r="A3" t="s">
        <v>17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ht="30" x14ac:dyDescent="0.25">
      <c r="A7" s="5" t="s">
        <v>81</v>
      </c>
    </row>
    <row r="8" spans="1:1" x14ac:dyDescent="0.25">
      <c r="A8" t="s">
        <v>25</v>
      </c>
    </row>
    <row r="9" spans="1:1" ht="30" x14ac:dyDescent="0.25">
      <c r="A9" s="5" t="s">
        <v>26</v>
      </c>
    </row>
    <row r="10" spans="1:1" x14ac:dyDescent="0.25">
      <c r="A10" t="s">
        <v>27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65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ht="30" x14ac:dyDescent="0.25">
      <c r="A17" s="5" t="s">
        <v>36</v>
      </c>
    </row>
    <row r="18" spans="1:1" x14ac:dyDescent="0.25">
      <c r="A18" t="s">
        <v>38</v>
      </c>
    </row>
    <row r="19" spans="1:1" x14ac:dyDescent="0.25">
      <c r="A19" t="s">
        <v>40</v>
      </c>
    </row>
    <row r="20" spans="1:1" x14ac:dyDescent="0.25">
      <c r="A20" t="s">
        <v>42</v>
      </c>
    </row>
    <row r="21" spans="1:1" x14ac:dyDescent="0.25">
      <c r="A21" t="s">
        <v>44</v>
      </c>
    </row>
    <row r="22" spans="1:1" ht="90" x14ac:dyDescent="0.25">
      <c r="A22" s="5" t="s">
        <v>46</v>
      </c>
    </row>
    <row r="23" spans="1:1" x14ac:dyDescent="0.25">
      <c r="A23" t="s">
        <v>47</v>
      </c>
    </row>
    <row r="24" spans="1:1" x14ac:dyDescent="0.25">
      <c r="A24" t="s">
        <v>14</v>
      </c>
    </row>
    <row r="25" spans="1:1" x14ac:dyDescent="0.25">
      <c r="A25" t="s">
        <v>15</v>
      </c>
    </row>
    <row r="26" spans="1:1" x14ac:dyDescent="0.25">
      <c r="A26" t="s">
        <v>18</v>
      </c>
    </row>
    <row r="27" spans="1:1" x14ac:dyDescent="0.25">
      <c r="A27" t="s">
        <v>20</v>
      </c>
    </row>
    <row r="28" spans="1:1" x14ac:dyDescent="0.25">
      <c r="A28" t="s">
        <v>74</v>
      </c>
    </row>
    <row r="29" spans="1:1" x14ac:dyDescent="0.25">
      <c r="A29" t="s">
        <v>16</v>
      </c>
    </row>
    <row r="30" spans="1:1" x14ac:dyDescent="0.25">
      <c r="A30" t="s">
        <v>19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5" spans="1:1" x14ac:dyDescent="0.25">
      <c r="A35" t="s">
        <v>75</v>
      </c>
    </row>
    <row r="36" spans="1:1" x14ac:dyDescent="0.25">
      <c r="A36" t="s">
        <v>76</v>
      </c>
    </row>
    <row r="37" spans="1:1" x14ac:dyDescent="0.25">
      <c r="A37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58AB-9EBF-4938-AF70-093B200398DD}">
  <dimension ref="A1:F7"/>
  <sheetViews>
    <sheetView view="pageBreakPreview" zoomScale="65" zoomScaleNormal="100" zoomScaleSheetLayoutView="65" workbookViewId="0">
      <selection activeCell="B56" sqref="B56:I65"/>
    </sheetView>
  </sheetViews>
  <sheetFormatPr defaultRowHeight="15" x14ac:dyDescent="0.25"/>
  <cols>
    <col min="1" max="1" width="100.7109375" customWidth="1"/>
    <col min="2" max="2" width="23" customWidth="1"/>
    <col min="3" max="3" width="22.140625" customWidth="1"/>
    <col min="4" max="4" width="27" customWidth="1"/>
    <col min="5" max="5" width="25.7109375" customWidth="1"/>
    <col min="6" max="6" width="24.7109375" customWidth="1"/>
  </cols>
  <sheetData>
    <row r="1" spans="1:6" ht="71.099999999999994" customHeight="1" x14ac:dyDescent="0.25">
      <c r="A1" s="10" t="s">
        <v>90</v>
      </c>
      <c r="B1" s="13" t="s">
        <v>32</v>
      </c>
      <c r="C1" s="13" t="s">
        <v>49</v>
      </c>
      <c r="D1" s="13" t="s">
        <v>37</v>
      </c>
      <c r="E1" s="13" t="s">
        <v>68</v>
      </c>
      <c r="F1" s="12"/>
    </row>
    <row r="2" spans="1:6" s="4" customFormat="1" ht="96" customHeight="1" x14ac:dyDescent="0.25">
      <c r="A2" s="16" t="s">
        <v>89</v>
      </c>
      <c r="B2" s="13" t="s">
        <v>35</v>
      </c>
      <c r="C2" s="13" t="s">
        <v>51</v>
      </c>
      <c r="D2" s="13" t="s">
        <v>41</v>
      </c>
      <c r="E2" s="13" t="s">
        <v>71</v>
      </c>
      <c r="F2" s="12"/>
    </row>
    <row r="3" spans="1:6" ht="90" customHeight="1" x14ac:dyDescent="0.25">
      <c r="A3" s="15" t="s">
        <v>88</v>
      </c>
      <c r="B3" s="13" t="s">
        <v>39</v>
      </c>
      <c r="C3" s="13" t="s">
        <v>52</v>
      </c>
      <c r="D3" s="13" t="s">
        <v>45</v>
      </c>
      <c r="E3" s="13" t="s">
        <v>72</v>
      </c>
      <c r="F3" s="13" t="s">
        <v>61</v>
      </c>
    </row>
    <row r="4" spans="1:6" ht="71.099999999999994" customHeight="1" x14ac:dyDescent="0.25">
      <c r="A4" s="15" t="s">
        <v>87</v>
      </c>
      <c r="B4" s="13" t="s">
        <v>43</v>
      </c>
      <c r="C4" s="12"/>
      <c r="D4" s="13" t="s">
        <v>48</v>
      </c>
      <c r="E4" s="13" t="s">
        <v>73</v>
      </c>
      <c r="F4" s="12"/>
    </row>
    <row r="5" spans="1:6" ht="71.099999999999994" customHeight="1" x14ac:dyDescent="0.25">
      <c r="A5" s="14" t="s">
        <v>86</v>
      </c>
      <c r="B5" s="12"/>
      <c r="C5" s="12"/>
      <c r="D5" s="13" t="s">
        <v>50</v>
      </c>
      <c r="E5" s="12"/>
      <c r="F5" s="12"/>
    </row>
    <row r="6" spans="1:6" ht="71.099999999999994" customHeight="1" x14ac:dyDescent="0.25">
      <c r="A6" s="10" t="s">
        <v>85</v>
      </c>
      <c r="B6" s="11"/>
      <c r="C6" s="11"/>
      <c r="D6" s="9"/>
      <c r="E6" s="11"/>
      <c r="F6" s="11"/>
    </row>
    <row r="7" spans="1:6" ht="71.099999999999994" customHeight="1" x14ac:dyDescent="0.25">
      <c r="A7" s="10" t="s">
        <v>84</v>
      </c>
      <c r="B7" s="32"/>
      <c r="C7" s="168"/>
      <c r="D7" s="168"/>
      <c r="E7" s="168"/>
      <c r="F7" s="168"/>
    </row>
  </sheetData>
  <sheetProtection formatCells="0" formatColumns="0" formatRows="0" insertColumns="0" insertRows="0" insertHyperlinks="0" deleteColumns="0" deleteRows="0" sort="0" autoFilter="0" pivotTables="0"/>
  <mergeCells count="1">
    <mergeCell ref="B7:F7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Отчет ОТ</vt:lpstr>
      <vt:lpstr>ЗИП</vt:lpstr>
      <vt:lpstr>Заключение</vt:lpstr>
      <vt:lpstr>ЗИП!Область_печати</vt:lpstr>
      <vt:lpstr>'Отчет ОТ'!Область_печати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vboxuser</cp:lastModifiedBy>
  <cp:lastPrinted>2023-03-06T14:16:00Z</cp:lastPrinted>
  <dcterms:created xsi:type="dcterms:W3CDTF">2022-08-09T11:46:27Z</dcterms:created>
  <dcterms:modified xsi:type="dcterms:W3CDTF">2025-11-04T15:29:10Z</dcterms:modified>
</cp:coreProperties>
</file>